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r:id="rId3" name="Mié. 31-08" sheetId="1"/>
  </sheets>
</workbook>
</file>

<file path=xl/sharedStrings.xml><?xml version="1.0" encoding="utf-8"?>
<sst xmlns="http://schemas.openxmlformats.org/spreadsheetml/2006/main" count="73" uniqueCount="71">
  <si>
    <t>O BEACH  DAILY REPORT</t>
  </si>
  <si>
    <t>22/11/2022 15:48:51</t>
  </si>
  <si>
    <t>Managers</t>
  </si>
  <si>
    <t>Day / Date</t>
  </si>
  <si>
    <t>Miércoles, 31 Agosto 2022</t>
  </si>
  <si>
    <t>SALES REPORT</t>
  </si>
  <si>
    <t>REVENUE (Gross)</t>
  </si>
  <si>
    <t>Current Date</t>
  </si>
  <si>
    <t>WEEK TO DATE</t>
  </si>
  <si>
    <t>LAST WEEK</t>
  </si>
  <si>
    <t>CURRENT DATE 2019</t>
  </si>
  <si>
    <t>AMOUNT DIF.</t>
  </si>
  <si>
    <t>% DIF.</t>
  </si>
  <si>
    <t>BUDGET</t>
  </si>
  <si>
    <t>BUDGET DIF.</t>
  </si>
  <si>
    <t>Main Bar</t>
  </si>
  <si>
    <t>OCEAN BAR</t>
  </si>
  <si>
    <t>BAR VIP PALM</t>
  </si>
  <si>
    <t>Service Bar</t>
  </si>
  <si>
    <t>Garden</t>
  </si>
  <si>
    <t>Caja VIP</t>
  </si>
  <si>
    <t>Sunset</t>
  </si>
  <si>
    <t>CAJA PALM</t>
  </si>
  <si>
    <t>Elyx Bar</t>
  </si>
  <si>
    <t>OB Lounge</t>
  </si>
  <si>
    <t>CONCIERGE DRINKS TICKETS</t>
  </si>
  <si>
    <t>DOOR</t>
  </si>
  <si>
    <t>VENTA ANTICIPADA</t>
  </si>
  <si>
    <t>PUERTA HOTEL</t>
  </si>
  <si>
    <t>BOUTIQUE</t>
  </si>
  <si>
    <t>SHOTS</t>
  </si>
  <si>
    <t>ONLINE DRINKS TICKETS</t>
  </si>
  <si>
    <t>TOTAL GROSS SALES</t>
  </si>
  <si>
    <t>Less Tax</t>
  </si>
  <si>
    <t>TOTAL NET SALES</t>
  </si>
  <si>
    <t>COMPS (Cost)</t>
  </si>
  <si>
    <t>PAX / GUESTS</t>
  </si>
  <si>
    <t>Number of Pax / Guests</t>
  </si>
  <si>
    <t>Spend per Head</t>
  </si>
  <si>
    <t>TOTAL REVENUE AS PER PAX</t>
  </si>
  <si>
    <t>Invitacion George Mc Blain</t>
  </si>
  <si>
    <t>Invitacion Promotores</t>
  </si>
  <si>
    <t>Invitacion Empresa</t>
  </si>
  <si>
    <t>Invitacion DJ</t>
  </si>
  <si>
    <t>Breakage</t>
  </si>
  <si>
    <t>Invitacion Gemma</t>
  </si>
  <si>
    <t>Discounts</t>
  </si>
  <si>
    <t>Ticket Invitations</t>
  </si>
  <si>
    <t>Total</t>
  </si>
  <si>
    <t>DAILY COLLECTION REPORT</t>
  </si>
  <si>
    <t>Cash</t>
  </si>
  <si>
    <t>VISA/MASTER/MAESTRO PINPAD</t>
  </si>
  <si>
    <t>AMEX</t>
  </si>
  <si>
    <t>VISA / MASTER</t>
  </si>
  <si>
    <t>Bank Transfer Internet</t>
  </si>
  <si>
    <t>Bank Transfer</t>
  </si>
  <si>
    <t>Delivery Prepaid</t>
  </si>
  <si>
    <t>Deposits</t>
  </si>
  <si>
    <t>Credit</t>
  </si>
  <si>
    <t>Payments</t>
  </si>
  <si>
    <t>(-) Tips</t>
  </si>
  <si>
    <t>Total Collection</t>
  </si>
  <si>
    <t>Diff. Collection - Revenue</t>
  </si>
  <si>
    <t>Cost Forecast</t>
  </si>
  <si>
    <t>Staff</t>
  </si>
  <si>
    <t>Stock</t>
  </si>
  <si>
    <t>Forecasted 19%</t>
  </si>
  <si>
    <t>Real</t>
  </si>
  <si>
    <t>Dif. %</t>
  </si>
  <si>
    <t>REVENUE COMMENTS</t>
  </si>
  <si>
    <t>488 CHUPITOS 
22 VAPES</t>
  </si>
</sst>
</file>

<file path=xl/styles.xml><?xml version="1.0" encoding="utf-8"?>
<styleSheet xmlns="http://schemas.openxmlformats.org/spreadsheetml/2006/main">
  <numFmts count="10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,##0.00  €" numFmtId="165"/>
  </numFmts>
  <fonts count="11">
    <font>
      <sz val="10"/>
      <color auto="1"/>
      <name val="Arial"/>
      <charset val="1"/>
    </font>
    <font>
      <sz val="10"/>
      <color indexed="0"/>
      <name val="Arial"/>
      <charset val="1"/>
    </font>
    <font>
      <sz val="20"/>
      <b/>
      <color indexed="1"/>
      <name val="Arial Black"/>
      <charset val="0"/>
    </font>
    <font>
      <sz val="8"/>
      <color indexed="1"/>
      <name val="Arial Black"/>
      <charset val="0"/>
    </font>
    <font>
      <sz val="8"/>
      <color indexed="0"/>
      <name val="Arial"/>
      <charset val="0"/>
    </font>
    <font>
      <sz val="12"/>
      <b/>
      <color indexed="1"/>
      <name val="Arial"/>
      <charset val="0"/>
    </font>
    <font>
      <sz val="12"/>
      <color indexed="1"/>
      <name val="Arial"/>
      <charset val="0"/>
    </font>
    <font>
      <sz val="9"/>
      <b/>
      <color indexed="0"/>
      <name val="Arial"/>
      <charset val="0"/>
    </font>
    <font>
      <sz val="9"/>
      <b/>
      <color indexed="1"/>
      <name val="Arial"/>
      <charset val="0"/>
    </font>
    <font>
      <sz val="9"/>
      <b/>
      <color indexed="2"/>
      <name val="Arial"/>
      <charset val="0"/>
    </font>
    <font>
      <sz val="9"/>
      <b/>
      <color rgb="0070C0"/>
      <name val="Arial"/>
      <charset val="0"/>
    </font>
  </fonts>
  <fills count="13">
    <fill>
      <patternFill patternType="none"/>
    </fill>
    <fill>
      <patternFill patternType="gray125"/>
    </fill>
    <fill>
      <patternFill patternType="solid">
        <fgColor rgb="F48060"/>
        <bgColor indexed="65"/>
      </patternFill>
    </fill>
    <fill>
      <patternFill patternType="solid">
        <fgColor rgb="595959"/>
        <bgColor indexed="65"/>
      </patternFill>
    </fill>
    <fill>
      <patternFill patternType="solid">
        <fgColor rgb="002060"/>
        <bgColor indexed="65"/>
      </patternFill>
    </fill>
    <fill>
      <patternFill patternType="solid">
        <fgColor rgb="BFBFBF"/>
        <bgColor indexed="65"/>
      </patternFill>
    </fill>
    <fill>
      <patternFill patternType="solid">
        <fgColor rgb="C5D9F1"/>
        <bgColor indexed="65"/>
      </patternFill>
    </fill>
    <fill>
      <patternFill patternType="solid">
        <fgColor rgb="DAEEF3"/>
        <bgColor indexed="65"/>
      </patternFill>
    </fill>
    <fill>
      <patternFill patternType="solid">
        <fgColor rgb="E6B8B7"/>
        <bgColor indexed="65"/>
      </patternFill>
    </fill>
    <fill>
      <patternFill patternType="solid">
        <fgColor rgb="F2DCDB"/>
        <bgColor indexed="65"/>
      </patternFill>
    </fill>
    <fill>
      <patternFill patternType="solid">
        <fgColor indexed="1"/>
        <bgColor indexed="65"/>
      </patternFill>
    </fill>
    <fill>
      <patternFill patternType="solid">
        <fgColor indexed="5"/>
        <bgColor indexed="65"/>
      </patternFill>
    </fill>
    <fill>
      <patternFill patternType="solid">
        <fgColor rgb="FFFF99"/>
        <bgColor indexed="65"/>
      </patternFill>
    </fill>
  </fills>
  <borders count="8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/>
      <top style="thin">
        <color rgb="000000"/>
      </top>
      <bottom style="thin">
        <color rgb="000000"/>
      </bottom>
    </border>
    <border>
      <left/>
      <right/>
      <top style="thin">
        <color rgb="000000"/>
      </top>
      <bottom style="thin">
        <color rgb="000000"/>
      </bottom>
    </border>
    <border>
      <left/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/>
    </border>
    <border>
      <left style="thin">
        <color rgb="000000"/>
      </left>
      <right style="thin">
        <color rgb="000000"/>
      </right>
      <top/>
      <bottom/>
    </border>
    <border>
      <left style="thin">
        <color rgb="000000"/>
      </left>
      <right style="thin">
        <color rgb="000000"/>
      </right>
      <top/>
      <bottom style="thin">
        <color rgb="000000"/>
      </bottom>
    </border>
  </borders>
  <cellStyleXfs count="1">
    <xf applyNumberFormat="0" applyFont="0" applyFill="0" applyBorder="0" applyAlignment="0" applyProtection="0" numFmtId="0" fontId="0" fillId="0" borderId="0"/>
  </cellStyleXfs>
  <cellXfs count="68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center"/>
      <protection locked="1"/>
    </xf>
    <xf applyNumberFormat="1" applyFont="1" applyFill="1" applyBorder="1" applyAlignment="1" applyProtection="1" numFmtId="0" fontId="2" fillId="2" borderId="0">
      <alignment horizontal="center" vertical="center"/>
      <protection locked="1"/>
    </xf>
    <xf applyNumberFormat="1" applyFont="1" applyFill="1" applyBorder="1" applyAlignment="1" applyProtection="1" numFmtId="0" fontId="2" fillId="2" borderId="1">
      <alignment horizontal="center" vertical="center"/>
      <protection locked="1"/>
    </xf>
    <xf applyNumberFormat="1" applyFont="1" applyFill="1" applyBorder="1" applyAlignment="1" applyProtection="1" numFmtId="0" fontId="2" fillId="2" borderId="0">
      <alignment horizontal="left" vertical="center"/>
      <protection locked="1"/>
    </xf>
    <xf applyNumberFormat="1" applyFont="1" applyFill="1" applyBorder="1" applyAlignment="1" applyProtection="1" numFmtId="0" fontId="2" fillId="2" borderId="1">
      <alignment horizontal="left" vertical="center"/>
      <protection locked="1"/>
    </xf>
    <xf applyNumberFormat="1" applyFont="1" applyFill="1" applyBorder="1" applyAlignment="1" applyProtection="1" numFmtId="0" fontId="3" fillId="2" borderId="0">
      <alignment horizontal="center" vertical="center"/>
      <protection locked="1"/>
    </xf>
    <xf applyNumberFormat="1" applyFont="1" applyFill="1" applyBorder="1" applyAlignment="1" applyProtection="1" numFmtId="0" fontId="3" fillId="2" borderId="1">
      <alignment horizontal="center" vertical="center"/>
      <protection locked="1"/>
    </xf>
    <xf applyNumberFormat="1" applyFont="1" applyFill="1" applyBorder="1" applyAlignment="1" applyProtection="1" numFmtId="0" fontId="4" fillId="0" borderId="0">
      <alignment horizontal="center" vertical="center"/>
      <protection locked="1"/>
    </xf>
    <xf applyNumberFormat="1" applyFont="1" applyFill="1" applyBorder="1" applyAlignment="1" applyProtection="1" numFmtId="0" fontId="5" fillId="3" borderId="0">
      <alignment horizontal="left" vertical="bottom"/>
      <protection locked="1"/>
    </xf>
    <xf applyNumberFormat="1" applyFont="1" applyFill="1" applyBorder="1" applyAlignment="1" applyProtection="1" numFmtId="0" fontId="5" fillId="3" borderId="1">
      <alignment horizontal="left" vertical="bottom"/>
      <protection locked="1"/>
    </xf>
    <xf applyNumberFormat="1" applyFont="1" applyFill="1" applyBorder="1" applyAlignment="1" applyProtection="1" numFmtId="0" fontId="5" fillId="3" borderId="0">
      <alignment horizontal="left" vertical="center"/>
      <protection locked="1"/>
    </xf>
    <xf applyNumberFormat="1" applyFont="1" applyFill="1" applyBorder="1" applyAlignment="1" applyProtection="1" numFmtId="0" fontId="5" fillId="3" borderId="2">
      <alignment horizontal="left" vertical="center"/>
      <protection locked="1"/>
    </xf>
    <xf applyNumberFormat="1" applyFont="1" applyFill="1" applyBorder="1" applyAlignment="1" applyProtection="1" numFmtId="0" fontId="6" fillId="3" borderId="0">
      <alignment horizontal="left" vertical="center"/>
      <protection locked="1"/>
    </xf>
    <xf applyNumberFormat="1" applyFont="1" applyFill="1" applyBorder="1" applyAlignment="1" applyProtection="1" numFmtId="0" fontId="6" fillId="3" borderId="3">
      <alignment horizontal="left" vertical="center"/>
      <protection locked="1"/>
    </xf>
    <xf applyNumberFormat="1" applyFont="1" applyFill="1" applyBorder="1" applyAlignment="1" applyProtection="1" numFmtId="0" fontId="5" fillId="3" borderId="3">
      <alignment horizontal="left" vertical="bottom"/>
      <protection locked="1"/>
    </xf>
    <xf applyNumberFormat="1" applyFont="1" applyFill="1" applyBorder="1" applyAlignment="1" applyProtection="1" numFmtId="0" fontId="5" fillId="3" borderId="4">
      <alignment horizontal="left" vertical="bottom"/>
      <protection locked="1"/>
    </xf>
    <xf applyNumberFormat="1" applyFont="1" applyFill="1" applyBorder="1" applyAlignment="1" applyProtection="1" numFmtId="164" fontId="5" fillId="3" borderId="2">
      <alignment horizontal="left" vertical="center"/>
      <protection locked="1"/>
    </xf>
    <xf applyNumberFormat="1" applyFont="1" applyFill="1" applyBorder="1" applyAlignment="1" applyProtection="1" numFmtId="164" fontId="5" fillId="3" borderId="3">
      <alignment horizontal="left" vertical="bottom"/>
      <protection locked="1"/>
    </xf>
    <xf applyNumberFormat="1" applyFont="1" applyFill="1" applyBorder="1" applyAlignment="1" applyProtection="1" numFmtId="164" fontId="5" fillId="3" borderId="4">
      <alignment horizontal="left" vertical="bottom"/>
      <protection locked="1"/>
    </xf>
    <xf applyNumberFormat="1" applyFont="1" applyFill="1" applyBorder="1" applyAlignment="1" applyProtection="1" numFmtId="0" fontId="5" fillId="4" borderId="2">
      <alignment horizontal="center" vertical="center"/>
      <protection locked="1"/>
    </xf>
    <xf applyNumberFormat="1" applyFont="1" applyFill="1" applyBorder="1" applyAlignment="1" applyProtection="1" numFmtId="0" fontId="5" fillId="4" borderId="3">
      <alignment horizontal="left" vertical="bottom"/>
      <protection locked="1"/>
    </xf>
    <xf applyNumberFormat="1" applyFont="1" applyFill="1" applyBorder="1" applyAlignment="1" applyProtection="1" numFmtId="0" fontId="5" fillId="4" borderId="4">
      <alignment horizontal="left" vertical="bottom"/>
      <protection locked="1"/>
    </xf>
    <xf applyNumberFormat="1" applyFont="1" applyFill="1" applyBorder="1" applyAlignment="1" applyProtection="1" numFmtId="0" fontId="7" fillId="5" borderId="2">
      <alignment horizontal="center" vertical="center"/>
      <protection locked="1"/>
    </xf>
    <xf applyNumberFormat="1" applyFont="1" applyFill="1" applyBorder="1" applyAlignment="1" applyProtection="1" numFmtId="0" fontId="7" fillId="5" borderId="3">
      <alignment horizontal="left" vertical="bottom"/>
      <protection locked="1"/>
    </xf>
    <xf applyNumberFormat="1" applyFont="1" applyFill="1" applyBorder="1" applyAlignment="1" applyProtection="1" numFmtId="0" fontId="7" fillId="5" borderId="4">
      <alignment horizontal="left" vertical="bottom"/>
      <protection locked="1"/>
    </xf>
    <xf applyNumberFormat="1" applyFont="1" applyFill="1" applyBorder="1" applyAlignment="1" applyProtection="1" numFmtId="0" fontId="7" fillId="6" borderId="1">
      <alignment horizontal="left" vertical="bottom"/>
      <protection locked="1"/>
    </xf>
    <xf applyNumberFormat="1" applyFont="1" applyFill="1" applyBorder="1" applyAlignment="1" applyProtection="1" numFmtId="0" fontId="7" fillId="6" borderId="1">
      <alignment horizontal="center" vertical="bottom"/>
      <protection locked="1"/>
    </xf>
    <xf applyNumberFormat="1" applyFont="1" applyFill="1" applyBorder="1" applyAlignment="1" applyProtection="1" numFmtId="0" fontId="7" fillId="7" borderId="1">
      <alignment horizontal="left" vertical="bottom"/>
      <protection locked="1"/>
    </xf>
    <xf applyNumberFormat="1" applyFont="1" applyFill="1" applyBorder="1" applyAlignment="1" applyProtection="1" numFmtId="165" fontId="7" fillId="7" borderId="1">
      <alignment horizontal="right" vertical="bottom"/>
      <protection locked="1"/>
    </xf>
    <xf applyNumberFormat="1" applyFont="1" applyFill="1" applyBorder="1" applyAlignment="1" applyProtection="1" numFmtId="0" fontId="7" fillId="7" borderId="5">
      <alignment horizontal="center" vertical="center"/>
      <protection locked="1"/>
    </xf>
    <xf applyNumberFormat="1" applyFont="1" applyFill="1" applyBorder="1" applyAlignment="1" applyProtection="1" numFmtId="0" fontId="7" fillId="7" borderId="6">
      <alignment horizontal="left" vertical="bottom"/>
      <protection locked="1"/>
    </xf>
    <xf applyNumberFormat="1" applyFont="1" applyFill="1" applyBorder="1" applyAlignment="1" applyProtection="1" numFmtId="0" fontId="7" fillId="7" borderId="7">
      <alignment horizontal="left" vertical="bottom"/>
      <protection locked="1"/>
    </xf>
    <xf applyNumberFormat="1" applyFont="1" applyFill="1" applyBorder="1" applyAlignment="1" applyProtection="1" numFmtId="0" fontId="7" fillId="7" borderId="2">
      <alignment horizontal="center" vertical="center"/>
      <protection locked="1"/>
    </xf>
    <xf applyNumberFormat="1" applyFont="1" applyFill="1" applyBorder="1" applyAlignment="1" applyProtection="1" numFmtId="0" fontId="7" fillId="7" borderId="3">
      <alignment horizontal="left" vertical="bottom"/>
      <protection locked="1"/>
    </xf>
    <xf applyNumberFormat="1" applyFont="1" applyFill="1" applyBorder="1" applyAlignment="1" applyProtection="1" numFmtId="0" fontId="7" fillId="7" borderId="4">
      <alignment horizontal="left" vertical="bottom"/>
      <protection locked="1"/>
    </xf>
    <xf applyNumberFormat="1" applyFont="1" applyFill="1" applyBorder="1" applyAlignment="1" applyProtection="1" numFmtId="0" fontId="8" fillId="3" borderId="1">
      <alignment horizontal="left" vertical="bottom"/>
      <protection locked="1"/>
    </xf>
    <xf applyNumberFormat="1" applyFont="1" applyFill="1" applyBorder="1" applyAlignment="1" applyProtection="1" numFmtId="165" fontId="8" fillId="3" borderId="1">
      <alignment horizontal="right" vertical="bottom"/>
      <protection locked="1"/>
    </xf>
    <xf applyNumberFormat="1" applyFont="1" applyFill="1" applyBorder="1" applyAlignment="1" applyProtection="1" numFmtId="165" fontId="8" fillId="3" borderId="4">
      <alignment horizontal="right" vertical="bottom"/>
      <protection locked="1"/>
    </xf>
    <xf applyNumberFormat="1" applyFont="1" applyFill="1" applyBorder="1" applyAlignment="1" applyProtection="1" numFmtId="10" fontId="8" fillId="3" borderId="1">
      <alignment horizontal="right" vertical="bottom"/>
      <protection locked="1"/>
    </xf>
    <xf applyNumberFormat="1" applyFont="1" applyFill="1" applyBorder="1" applyAlignment="1" applyProtection="1" numFmtId="0" fontId="9" fillId="7" borderId="1">
      <alignment horizontal="left" vertical="bottom"/>
      <protection locked="1"/>
    </xf>
    <xf applyNumberFormat="1" applyFont="1" applyFill="1" applyBorder="1" applyAlignment="1" applyProtection="1" numFmtId="165" fontId="9" fillId="7" borderId="1">
      <alignment horizontal="right" vertical="bottom"/>
      <protection locked="1"/>
    </xf>
    <xf applyNumberFormat="1" applyFont="1" applyFill="1" applyBorder="1" applyAlignment="1" applyProtection="1" numFmtId="0" fontId="7" fillId="0" borderId="2">
      <alignment horizontal="center" vertical="center"/>
      <protection locked="1"/>
    </xf>
    <xf applyNumberFormat="1" applyFont="1" applyFill="1" applyBorder="1" applyAlignment="1" applyProtection="1" numFmtId="0" fontId="7" fillId="0" borderId="3">
      <alignment horizontal="left" vertical="bottom"/>
      <protection locked="1"/>
    </xf>
    <xf applyNumberFormat="1" applyFont="1" applyFill="1" applyBorder="1" applyAlignment="1" applyProtection="1" numFmtId="0" fontId="7" fillId="0" borderId="4">
      <alignment horizontal="left" vertical="bottom"/>
      <protection locked="1"/>
    </xf>
    <xf applyNumberFormat="1" applyFont="1" applyFill="1" applyBorder="1" applyAlignment="1" applyProtection="1" numFmtId="0" fontId="7" fillId="8" borderId="2">
      <alignment horizontal="center" vertical="center"/>
      <protection locked="1"/>
    </xf>
    <xf applyNumberFormat="1" applyFont="1" applyFill="1" applyBorder="1" applyAlignment="1" applyProtection="1" numFmtId="0" fontId="7" fillId="8" borderId="3">
      <alignment horizontal="left" vertical="bottom"/>
      <protection locked="1"/>
    </xf>
    <xf applyNumberFormat="1" applyFont="1" applyFill="1" applyBorder="1" applyAlignment="1" applyProtection="1" numFmtId="0" fontId="7" fillId="8" borderId="4">
      <alignment horizontal="left" vertical="bottom"/>
      <protection locked="1"/>
    </xf>
    <xf applyNumberFormat="1" applyFont="1" applyFill="1" applyBorder="1" applyAlignment="1" applyProtection="1" numFmtId="0" fontId="7" fillId="7" borderId="1">
      <alignment horizontal="right" vertical="bottom"/>
      <protection locked="1"/>
    </xf>
    <xf applyNumberFormat="1" applyFont="1" applyFill="1" applyBorder="1" applyAlignment="1" applyProtection="1" numFmtId="0" fontId="7" fillId="9" borderId="1">
      <alignment horizontal="left" vertical="bottom"/>
      <protection locked="1"/>
    </xf>
    <xf applyNumberFormat="1" applyFont="1" applyFill="1" applyBorder="1" applyAlignment="1" applyProtection="1" numFmtId="165" fontId="7" fillId="9" borderId="1">
      <alignment horizontal="right" vertical="bottom"/>
      <protection locked="1"/>
    </xf>
    <xf applyNumberFormat="1" applyFont="1" applyFill="1" applyBorder="1" applyAlignment="1" applyProtection="1" numFmtId="0" fontId="7" fillId="10" borderId="2">
      <alignment horizontal="center" vertical="center"/>
      <protection locked="1"/>
    </xf>
    <xf applyNumberFormat="1" applyFont="1" applyFill="1" applyBorder="1" applyAlignment="1" applyProtection="1" numFmtId="0" fontId="7" fillId="10" borderId="3">
      <alignment horizontal="left" vertical="bottom"/>
      <protection locked="1"/>
    </xf>
    <xf applyNumberFormat="1" applyFont="1" applyFill="1" applyBorder="1" applyAlignment="1" applyProtection="1" numFmtId="0" fontId="7" fillId="10" borderId="4">
      <alignment horizontal="left" vertical="bottom"/>
      <protection locked="1"/>
    </xf>
    <xf applyNumberFormat="1" applyFont="1" applyFill="1" applyBorder="1" applyAlignment="1" applyProtection="1" numFmtId="0" fontId="7" fillId="11" borderId="2">
      <alignment horizontal="center" vertical="center"/>
      <protection locked="1"/>
    </xf>
    <xf applyNumberFormat="1" applyFont="1" applyFill="1" applyBorder="1" applyAlignment="1" applyProtection="1" numFmtId="0" fontId="7" fillId="11" borderId="3">
      <alignment horizontal="left" vertical="bottom"/>
      <protection locked="1"/>
    </xf>
    <xf applyNumberFormat="1" applyFont="1" applyFill="1" applyBorder="1" applyAlignment="1" applyProtection="1" numFmtId="0" fontId="7" fillId="11" borderId="4">
      <alignment horizontal="left" vertical="bottom"/>
      <protection locked="1"/>
    </xf>
    <xf applyNumberFormat="1" applyFont="1" applyFill="1" applyBorder="1" applyAlignment="1" applyProtection="1" numFmtId="0" fontId="7" fillId="12" borderId="1">
      <alignment horizontal="left" vertical="bottom"/>
      <protection locked="1"/>
    </xf>
    <xf applyNumberFormat="1" applyFont="1" applyFill="1" applyBorder="1" applyAlignment="1" applyProtection="1" numFmtId="165" fontId="7" fillId="12" borderId="1">
      <alignment horizontal="right" vertical="bottom"/>
      <protection locked="1"/>
    </xf>
    <xf applyNumberFormat="1" applyFont="1" applyFill="1" applyBorder="1" applyAlignment="1" applyProtection="1" numFmtId="0" fontId="7" fillId="0" borderId="0">
      <alignment horizontal="center" vertical="bottom"/>
      <protection locked="1"/>
    </xf>
    <xf applyNumberFormat="1" applyFont="1" applyFill="1" applyBorder="1" applyAlignment="1" applyProtection="1" numFmtId="10" fontId="7" fillId="7" borderId="1">
      <alignment horizontal="right" vertical="bottom"/>
      <protection locked="1"/>
    </xf>
    <xf applyNumberFormat="1" applyFont="1" applyFill="1" applyBorder="1" applyAlignment="1" applyProtection="1" numFmtId="0" fontId="8" fillId="3" borderId="2">
      <alignment horizontal="center" vertical="center"/>
      <protection locked="1"/>
    </xf>
    <xf applyNumberFormat="1" applyFont="1" applyFill="1" applyBorder="1" applyAlignment="1" applyProtection="1" numFmtId="0" fontId="8" fillId="3" borderId="3">
      <alignment horizontal="left" vertical="bottom"/>
      <protection locked="1"/>
    </xf>
    <xf applyNumberFormat="1" applyFont="1" applyFill="1" applyBorder="1" applyAlignment="1" applyProtection="1" numFmtId="0" fontId="8" fillId="3" borderId="4">
      <alignment horizontal="left" vertical="bottom"/>
      <protection locked="1"/>
    </xf>
    <xf applyNumberFormat="1" applyFont="1" applyFill="1" applyBorder="1" applyAlignment="1" applyProtection="1" numFmtId="0" fontId="10" fillId="10" borderId="2">
      <alignment horizontal="left" vertical="top" wrapText="1"/>
      <protection locked="1"/>
    </xf>
    <xf applyNumberFormat="1" applyFont="1" applyFill="1" applyBorder="1" applyAlignment="1" applyProtection="1" numFmtId="0" fontId="10" fillId="10" borderId="3">
      <alignment horizontal="left" vertical="top" wrapText="1"/>
      <protection locked="1"/>
    </xf>
    <xf applyNumberFormat="1" applyFont="1" applyFill="1" applyBorder="1" applyAlignment="1" applyProtection="1" numFmtId="0" fontId="10" fillId="10" borderId="4">
      <alignment horizontal="left" vertical="top" wrapText="1"/>
      <protection locked="1"/>
    </xf>
    <xf applyNumberFormat="1" applyFont="1" applyFill="1" applyBorder="1" applyAlignment="1" applyProtection="1" numFmtId="0" fontId="7" fillId="0" borderId="0">
      <alignment horizontal="left" vertical="bottom"/>
      <protection locked="1"/>
    </xf>
  </cellXfs>
  <cellStyles count="1">
    <cellStyle xfId="0" biltinId="0" name="Normal"/>
  </cellStyle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F48060"/>
      <rgbColor rgb="000000"/>
      <rgbColor rgb="595959"/>
      <rgbColor rgb="002060"/>
      <rgbColor rgb="BFBFBF"/>
      <rgbColor rgb="C5D9F1"/>
      <rgbColor rgb="DAEEF3"/>
      <rgbColor rgb="E6B8B7"/>
      <rgbColor rgb="F2DCDB"/>
      <rgbColor rgb="FFFF99"/>
      <rgbColor rgb="0070C0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/>
  </sheetPr>
  <sheetViews>
    <sheetView showGridLines="0" workbookViewId="0"/>
  </sheetViews>
  <sheetFormatPr defaultRowHeight="15" baseColWidth="10" customHeight="1"/>
  <cols>
    <col min="1" max="1" style="67" customWidth="1" width="54.28571428571"/>
    <col min="2" max="2" style="67" customWidth="1" width="28.71428571429"/>
    <col min="3" max="3" style="67" customWidth="1" width="16.57142857143"/>
    <col min="4" max="4" style="67" customWidth="1" width="15.71428571429"/>
    <col min="5" max="5" style="67" customWidth="1" width="17.28571428571"/>
    <col min="6" max="6" style="67" customWidth="1" width="15.71428571429"/>
    <col min="7" max="7" style="67" customWidth="1" width="8.571428571429"/>
    <col min="8" max="8" style="67" customWidth="1" width="15.71428571429"/>
    <col min="9" max="9" style="67" customWidth="1" width="15.71428571429"/>
    <col min="10" max="10" style="67" customWidth="1" width="8.571428571429"/>
  </cols>
  <sheetData>
    <row r="1" customHeight="1" ht="37.5" customFormat="1" s="67" spans="1:10">
      <c s="3" r="A1" t="s">
        <v>0</v>
      </c>
      <c s="5" r="B1"/>
      <c s="7" r="C1"/>
      <c s="5" r="D1"/>
      <c s="5" r="E1"/>
      <c s="5" r="F1"/>
      <c s="5" r="G1"/>
      <c s="5" r="H1"/>
      <c s="5" r="I1"/>
      <c s="5" r="J1"/>
    </row>
    <row r="2" customHeight="1" ht="13.5" customFormat="1" s="67" spans="3:3">
      <c s="8" r="C2" t="s">
        <v>1</v>
      </c>
    </row>
    <row r="3" customHeight="1" ht="17.25" customFormat="1" s="67" spans="1:10">
      <c s="10" r="A3" t="s">
        <v>2</v>
      </c>
      <c s="12" r="B3"/>
      <c s="14" r="C3"/>
      <c s="15" r="D3"/>
      <c s="15" r="E3"/>
      <c s="15" r="F3"/>
      <c s="15" r="G3"/>
      <c s="15" r="H3"/>
      <c s="15" r="I3"/>
      <c s="16" r="J3"/>
    </row>
    <row r="4" customHeight="1" ht="17.25" customFormat="1" s="67" spans="1:10">
      <c s="10" r="A4" t="s">
        <v>3</v>
      </c>
      <c s="17" r="B4" t="s">
        <v>4</v>
      </c>
      <c s="18" r="C4"/>
      <c s="18" r="D4"/>
      <c s="18" r="E4"/>
      <c s="18" r="F4"/>
      <c s="18" r="G4"/>
      <c s="18" r="H4"/>
      <c s="18" r="I4"/>
      <c s="19" r="J4"/>
    </row>
    <row r="5" customHeight="1" ht="13.5" customFormat="1" s="67" spans="1:1"/>
    <row r="6" customHeight="1" ht="17.25" customFormat="1" s="67" spans="1:10">
      <c s="20" r="A6" t="s">
        <v>5</v>
      </c>
      <c s="21" r="B6"/>
      <c s="21" r="C6"/>
      <c s="21" r="D6"/>
      <c s="21" r="E6"/>
      <c s="21" r="F6"/>
      <c s="21" r="G6"/>
      <c s="21" r="H6"/>
      <c s="21" r="I6"/>
      <c s="22" r="J6"/>
    </row>
    <row r="7" customHeight="1" ht="6" customFormat="1" s="67" spans="1:10">
      <c s="23" r="A7"/>
      <c s="24" r="B7"/>
      <c s="24" r="C7"/>
      <c s="24" r="D7"/>
      <c s="24" r="E7"/>
      <c s="24" r="F7"/>
      <c s="24" r="G7"/>
      <c s="24" r="H7"/>
      <c s="24" r="I7"/>
      <c s="25" r="J7"/>
    </row>
    <row r="8" customHeight="1" ht="13.5" customFormat="1" s="67" spans="1:10">
      <c s="26" r="A8" t="s">
        <v>6</v>
      </c>
      <c s="27" r="B8" t="s">
        <v>7</v>
      </c>
      <c s="27" r="C8" t="s">
        <v>8</v>
      </c>
      <c s="27" r="D8" t="s">
        <v>9</v>
      </c>
      <c s="27" r="E8" t="s">
        <v>10</v>
      </c>
      <c s="27" r="F8" t="s">
        <v>11</v>
      </c>
      <c s="27" r="G8" t="s">
        <v>12</v>
      </c>
      <c s="27" r="H8" t="s">
        <v>13</v>
      </c>
      <c s="27" r="I8" t="s">
        <v>14</v>
      </c>
      <c s="27" r="J8" t="s">
        <v>12</v>
      </c>
    </row>
    <row r="9" customHeight="1" ht="13.5" customFormat="1" s="67" spans="1:10">
      <c s="28" r="A9" t="s">
        <v>15</v>
      </c>
      <c s="29" r="B9" t="n">
        <v>9242.5</v>
      </c>
      <c s="29" r="C9" t="n">
        <v>46987.8</v>
      </c>
      <c s="29" r="D9" t="n">
        <v>10031</v>
      </c>
      <c s="30" r="E9"/>
      <c s="30" r="F9"/>
      <c s="30" r="G9"/>
      <c s="30" r="H9"/>
      <c s="30" r="I9"/>
      <c s="30" r="J9"/>
    </row>
    <row r="10" customHeight="1" ht="13.5" customFormat="1" s="67" spans="1:10">
      <c s="28" r="A10" t="s">
        <v>16</v>
      </c>
      <c s="29" r="B10" t="n">
        <v>13849.5</v>
      </c>
      <c s="29" r="C10" t="n">
        <v>60968.3</v>
      </c>
      <c s="29" r="D10" t="n">
        <v>13635</v>
      </c>
      <c s="31" r="E10"/>
      <c s="31" r="F10"/>
      <c s="31" r="G10"/>
      <c s="31" r="H10"/>
      <c s="31" r="I10"/>
      <c s="31" r="J10"/>
    </row>
    <row r="11" customHeight="1" ht="13.5" customFormat="1" s="67" spans="1:10">
      <c s="28" r="A11" t="s">
        <v>17</v>
      </c>
      <c s="29" r="B11" t="n">
        <v>2032.5</v>
      </c>
      <c s="29" r="C11" t="n">
        <v>16177</v>
      </c>
      <c s="29" r="D11" t="n">
        <v>3321.5</v>
      </c>
      <c s="31" r="E11"/>
      <c s="31" r="F11"/>
      <c s="31" r="G11"/>
      <c s="31" r="H11"/>
      <c s="31" r="I11"/>
      <c s="31" r="J11"/>
    </row>
    <row r="12" customHeight="1" ht="13.5" customFormat="1" s="67" spans="1:10">
      <c s="28" r="A12" t="s">
        <v>18</v>
      </c>
      <c s="29" r="B12" t="n">
        <v>7152.9</v>
      </c>
      <c s="29" r="C12" t="n">
        <v>57258.74</v>
      </c>
      <c s="29" r="D12" t="n">
        <v>11714.57</v>
      </c>
      <c s="31" r="E12"/>
      <c s="31" r="F12"/>
      <c s="31" r="G12"/>
      <c s="31" r="H12"/>
      <c s="31" r="I12"/>
      <c s="31" r="J12"/>
    </row>
    <row r="13" customHeight="1" ht="13.5" customFormat="1" s="67" spans="1:10">
      <c s="28" r="A13" t="s">
        <v>19</v>
      </c>
      <c s="29" r="B13" t="n">
        <v>30697.5</v>
      </c>
      <c s="29" r="C13" t="n">
        <v>99166.9</v>
      </c>
      <c s="29" r="D13" t="n">
        <v>30896.42</v>
      </c>
      <c s="31" r="E13"/>
      <c s="31" r="F13"/>
      <c s="31" r="G13"/>
      <c s="31" r="H13"/>
      <c s="31" r="I13"/>
      <c s="31" r="J13"/>
    </row>
    <row r="14" customHeight="1" ht="13.5" customFormat="1" s="67" spans="1:10">
      <c s="28" r="A14" t="s">
        <v>20</v>
      </c>
      <c s="29" r="B14" t="n">
        <v>30825.95</v>
      </c>
      <c s="29" r="C14" t="n">
        <v>133446.28</v>
      </c>
      <c s="29" r="D14" t="n">
        <v>26556.07</v>
      </c>
      <c s="31" r="E14"/>
      <c s="31" r="F14"/>
      <c s="31" r="G14"/>
      <c s="31" r="H14"/>
      <c s="31" r="I14"/>
      <c s="31" r="J14"/>
    </row>
    <row r="15" customHeight="1" ht="13.5" customFormat="1" s="67" spans="1:10">
      <c s="28" r="A15" t="s">
        <v>21</v>
      </c>
      <c s="29" r="B15" t="n">
        <v>9283.3</v>
      </c>
      <c s="29" r="C15" t="n">
        <v>50288.8</v>
      </c>
      <c s="29" r="D15" t="n">
        <v>11385</v>
      </c>
      <c s="31" r="E15"/>
      <c s="31" r="F15"/>
      <c s="31" r="G15"/>
      <c s="31" r="H15"/>
      <c s="31" r="I15"/>
      <c s="31" r="J15"/>
    </row>
    <row r="16" customHeight="1" ht="13.5" customFormat="1" s="67" spans="1:10">
      <c s="28" r="A16" t="s">
        <v>22</v>
      </c>
      <c s="29" r="B16" t="n">
        <v>24996</v>
      </c>
      <c s="29" r="C16" t="n">
        <v>109759.01</v>
      </c>
      <c s="29" r="D16" t="n">
        <v>31852.12</v>
      </c>
      <c s="31" r="E16"/>
      <c s="31" r="F16"/>
      <c s="31" r="G16"/>
      <c s="31" r="H16"/>
      <c s="31" r="I16"/>
      <c s="31" r="J16"/>
    </row>
    <row r="17" customHeight="1" ht="13.5" customFormat="1" s="67" spans="1:10">
      <c s="28" r="A17" t="s">
        <v>23</v>
      </c>
      <c s="29" r="B17" t="n">
        <v>1442.5</v>
      </c>
      <c s="29" r="C17" t="n">
        <v>5544.8</v>
      </c>
      <c s="29" r="D17" t="n">
        <v>15</v>
      </c>
      <c s="31" r="E17"/>
      <c s="31" r="F17"/>
      <c s="31" r="G17"/>
      <c s="31" r="H17"/>
      <c s="31" r="I17"/>
      <c s="31" r="J17"/>
    </row>
    <row r="18" customHeight="1" ht="13.5" customFormat="1" s="67" spans="1:10">
      <c s="28" r="A18" t="s">
        <v>24</v>
      </c>
      <c s="29" r="B18" t="n">
        <v>94</v>
      </c>
      <c s="29" r="C18" t="n">
        <v>363.7</v>
      </c>
      <c s="29" r="D18" t="n">
        <v>85</v>
      </c>
      <c s="31" r="E18"/>
      <c s="31" r="F18"/>
      <c s="31" r="G18"/>
      <c s="31" r="H18"/>
      <c s="31" r="I18"/>
      <c s="31" r="J18"/>
    </row>
    <row r="19" customHeight="1" ht="13.5" customFormat="1" s="67" spans="1:10">
      <c s="28" r="A19" t="s">
        <v>25</v>
      </c>
      <c s="29" r="B19" t="n">
        <v>3645</v>
      </c>
      <c s="29" r="C19" t="n">
        <v>19245</v>
      </c>
      <c s="29" r="D19" t="n">
        <v>5140</v>
      </c>
      <c s="31" r="E19"/>
      <c s="31" r="F19"/>
      <c s="31" r="G19"/>
      <c s="31" r="H19"/>
      <c s="31" r="I19"/>
      <c s="31" r="J19"/>
    </row>
    <row r="20" customHeight="1" ht="13.5" customFormat="1" s="67" spans="1:10">
      <c s="28" r="A20" t="s">
        <v>26</v>
      </c>
      <c s="29" r="B20" t="n">
        <v>6912.5</v>
      </c>
      <c s="29" r="C20" t="n">
        <v>25035.5</v>
      </c>
      <c s="29" r="D20" t="n">
        <v>8250</v>
      </c>
      <c s="31" r="E20"/>
      <c s="31" r="F20"/>
      <c s="31" r="G20"/>
      <c s="31" r="H20"/>
      <c s="31" r="I20"/>
      <c s="31" r="J20"/>
    </row>
    <row r="21" customHeight="1" ht="13.5" customFormat="1" s="67" spans="1:10">
      <c s="28" r="A21" t="s">
        <v>27</v>
      </c>
      <c s="29" r="B21" t="n">
        <v>2900</v>
      </c>
      <c s="29" r="C21" t="n">
        <v>22370</v>
      </c>
      <c s="29" r="D21" t="n">
        <v>3430</v>
      </c>
      <c s="31" r="E21"/>
      <c s="31" r="F21"/>
      <c s="31" r="G21"/>
      <c s="31" r="H21"/>
      <c s="31" r="I21"/>
      <c s="31" r="J21"/>
    </row>
    <row r="22" customHeight="1" ht="13.5" customFormat="1" s="67" spans="1:10">
      <c s="28" r="A22" t="s">
        <v>28</v>
      </c>
      <c s="29" r="B22" t="n">
        <v>0</v>
      </c>
      <c s="29" r="C22" t="n">
        <v>0</v>
      </c>
      <c s="29" r="D22" t="n">
        <v>0</v>
      </c>
      <c s="31" r="E22"/>
      <c s="31" r="F22"/>
      <c s="31" r="G22"/>
      <c s="31" r="H22"/>
      <c s="31" r="I22"/>
      <c s="31" r="J22"/>
    </row>
    <row r="23" customHeight="1" ht="13.5" customFormat="1" s="67" spans="1:10">
      <c s="28" r="A23" t="s">
        <v>29</v>
      </c>
      <c s="29" r="B23" t="n">
        <v>646</v>
      </c>
      <c s="29" r="C23" t="n">
        <v>4336.5</v>
      </c>
      <c s="29" r="D23" t="n">
        <v>977</v>
      </c>
      <c s="31" r="E23"/>
      <c s="31" r="F23"/>
      <c s="31" r="G23"/>
      <c s="31" r="H23"/>
      <c s="31" r="I23"/>
      <c s="31" r="J23"/>
    </row>
    <row r="24" customHeight="1" ht="13.5" customFormat="1" s="67" spans="1:10">
      <c s="28" r="A24" t="s">
        <v>30</v>
      </c>
      <c s="29" r="B24" t="n">
        <v>2570.5</v>
      </c>
      <c s="29" r="C24" t="n">
        <v>7718</v>
      </c>
      <c s="29" r="D24" t="n">
        <v>3267.5</v>
      </c>
      <c s="31" r="E24"/>
      <c s="31" r="F24"/>
      <c s="31" r="G24"/>
      <c s="31" r="H24"/>
      <c s="31" r="I24"/>
      <c s="31" r="J24"/>
    </row>
    <row r="25" customHeight="1" ht="13.5" customFormat="1" s="67" spans="1:10">
      <c s="28" r="A25" t="s">
        <v>31</v>
      </c>
      <c s="29" r="B25" t="n">
        <v>755</v>
      </c>
      <c s="29" r="C25" t="n">
        <v>4885</v>
      </c>
      <c s="29" r="D25" t="n">
        <v>740</v>
      </c>
      <c s="32" r="E25"/>
      <c s="32" r="F25"/>
      <c s="32" r="G25"/>
      <c s="32" r="H25"/>
      <c s="32" r="I25"/>
      <c s="32" r="J25"/>
    </row>
    <row r="26" customHeight="1" ht="7.5" customFormat="1" s="67" spans="1:10">
      <c s="33" r="A26"/>
      <c s="34" r="B26"/>
      <c s="34" r="C26"/>
      <c s="34" r="D26"/>
      <c s="34" r="E26"/>
      <c s="34" r="F26"/>
      <c s="34" r="G26"/>
      <c s="34" r="H26"/>
      <c s="34" r="I26"/>
      <c s="35" r="J26"/>
    </row>
    <row r="27" customHeight="1" ht="13.5" customFormat="1" s="67" spans="1:10">
      <c s="36" r="A27" t="s">
        <v>32</v>
      </c>
      <c s="37" r="B27" t="n">
        <f>SUM(B9:B25)</f>
        <v>147045.65</v>
      </c>
      <c s="37" r="C27" t="n">
        <f>SUM(C9:C25)</f>
        <v>663551.33</v>
      </c>
      <c s="37" r="D27" t="n">
        <f>SUM(D9:D25)</f>
        <v>161296.18</v>
      </c>
      <c s="38" r="E27" t="n">
        <v>168087.9</v>
      </c>
      <c s="37" r="F27" t="n">
        <f>B27 - E27</f>
        <v>-21042.25</v>
      </c>
      <c s="39" r="G27" t="n">
        <f>IF(B27 &lt;&gt; 0, F27 / B27, 0)</f>
        <v>-0.1431001189087</v>
      </c>
      <c s="37" r="H27" t="n">
        <v>134470.32</v>
      </c>
      <c s="37" r="I27" t="n">
        <f>B27 - H27</f>
        <v>12575.33</v>
      </c>
      <c s="39" r="J27" t="n">
        <f>IF(B27 &lt;&gt; 0, I27 / B27, 0)</f>
        <v>0.08551990487308</v>
      </c>
    </row>
    <row r="28" customHeight="1" ht="13.5" customFormat="1" s="67" spans="1:4">
      <c s="40" r="A28" t="s">
        <v>33</v>
      </c>
      <c s="41" r="B28" t="n">
        <v>13421.18</v>
      </c>
      <c s="41" r="C28" t="n">
        <v>60688.06</v>
      </c>
      <c s="41" r="D28" t="n">
        <v>14746.3</v>
      </c>
    </row>
    <row r="29" customHeight="1" ht="13.5" customFormat="1" s="67" spans="1:4">
      <c s="36" r="A29" t="s">
        <v>34</v>
      </c>
      <c s="37" r="B29" t="n">
        <f>B27 - B28</f>
        <v>133624.47</v>
      </c>
      <c s="37" r="C29" t="n">
        <f>C27 - C28</f>
        <v>602863.27</v>
      </c>
      <c s="37" r="D29" t="n">
        <f>D27 - D28</f>
        <v>146549.88</v>
      </c>
    </row>
    <row r="30" customHeight="1" ht="7.5" customFormat="1" s="67" spans="1:4">
      <c s="33" r="A30"/>
      <c s="34" r="B30"/>
      <c s="34" r="C30"/>
      <c s="35" r="D30"/>
    </row>
    <row r="31" customHeight="1" ht="13.5" customFormat="1" s="67" spans="1:4">
      <c s="40" r="A31" t="s">
        <v>35</v>
      </c>
      <c s="41" r="B31" t="n">
        <v>2111.75</v>
      </c>
      <c s="41" r="C31" t="n">
        <v>10123.8</v>
      </c>
      <c s="41" r="D31" t="n">
        <v>1733.45</v>
      </c>
    </row>
    <row r="32" customHeight="1" ht="7.5" customFormat="1" s="67" spans="1:4">
      <c s="42" r="A32"/>
      <c s="43" r="B32"/>
      <c s="43" r="C32"/>
      <c s="44" r="D32"/>
    </row>
    <row r="33" customHeight="1" ht="13.5" customFormat="1" s="67" spans="1:4">
      <c s="45" r="A33" t="s">
        <v>36</v>
      </c>
      <c s="46" r="B33"/>
      <c s="46" r="C33"/>
      <c s="47" r="D33"/>
    </row>
    <row r="34" customHeight="1" ht="13.5" customFormat="1" s="67" spans="1:4">
      <c s="28" r="A34" t="s">
        <v>37</v>
      </c>
      <c s="48" r="B34" t="n">
        <v>1181</v>
      </c>
      <c s="48" r="C34" t="n">
        <v>5215</v>
      </c>
      <c s="48" r="D34" t="n">
        <v>1041</v>
      </c>
    </row>
    <row r="35" customHeight="1" ht="13.5" customFormat="1" s="67" spans="1:4">
      <c s="28" r="A35" t="s">
        <v>38</v>
      </c>
      <c s="29" r="B35" t="n">
        <f>IF(B34 &lt;&gt; 0, ROUND(B27 / B34, 2), 0)</f>
        <v>124.51</v>
      </c>
      <c s="29" r="C35" t="n">
        <f>IF(C34 &lt;&gt; 0, ROUND(C27 / C34, 2), 0)</f>
        <v>127.24</v>
      </c>
      <c s="29" r="D35" t="n">
        <f>IF(D34 &lt;&gt; 0, ROUND(D27 / D34, 2), 0)</f>
        <v>154.94</v>
      </c>
    </row>
    <row r="36" customHeight="1" ht="13.5" customFormat="1" s="67" spans="1:4">
      <c s="36" r="A36" t="s">
        <v>39</v>
      </c>
      <c s="37" r="B36" t="n">
        <f>ROUND(B34 * B35, 2)</f>
        <v>147046.31</v>
      </c>
      <c s="37" r="C36" t="n">
        <f>ROUND(C34 * C35, 2)</f>
        <v>663556.6</v>
      </c>
      <c s="37" r="D36" t="n">
        <f>ROUND(D34 * D35, 2)</f>
        <v>161292.54</v>
      </c>
    </row>
    <row r="37" customHeight="1" ht="7.5" customFormat="1" s="67" spans="1:4">
      <c s="42" r="A37"/>
      <c s="43" r="B37"/>
      <c s="43" r="C37"/>
      <c s="44" r="D37"/>
    </row>
    <row r="38" customHeight="1" ht="13.5" customFormat="1" s="67" spans="1:4">
      <c s="45" r="A38" t="s">
        <v>35</v>
      </c>
      <c s="46" r="B38"/>
      <c s="46" r="C38"/>
      <c s="47" r="D38"/>
    </row>
    <row r="39" customHeight="1" ht="13.5" customFormat="1" s="67" spans="1:4">
      <c s="49" r="A39" t="s">
        <v>40</v>
      </c>
      <c s="50" r="B39" t="n">
        <v>0</v>
      </c>
      <c s="50" r="C39" t="n">
        <v>0</v>
      </c>
      <c s="50" r="D39" t="n">
        <v>0</v>
      </c>
    </row>
    <row r="40" customHeight="1" ht="13.5" customFormat="1" s="67" spans="1:4">
      <c s="49" r="A40" t="s">
        <v>41</v>
      </c>
      <c s="50" r="B40" t="n">
        <v>0</v>
      </c>
      <c s="50" r="C40" t="n">
        <v>550</v>
      </c>
      <c s="50" r="D40" t="n">
        <v>0</v>
      </c>
    </row>
    <row r="41" customHeight="1" ht="13.5" customFormat="1" s="67" spans="1:4">
      <c s="49" r="A41" t="s">
        <v>42</v>
      </c>
      <c s="50" r="B41" t="n">
        <v>0</v>
      </c>
      <c s="50" r="C41" t="n">
        <v>118</v>
      </c>
      <c s="50" r="D41" t="n">
        <v>0</v>
      </c>
    </row>
    <row r="42" customHeight="1" ht="13.5" customFormat="1" s="67" spans="1:4">
      <c s="49" r="A42" t="s">
        <v>43</v>
      </c>
      <c s="50" r="B42" t="n">
        <v>0</v>
      </c>
      <c s="50" r="C42" t="n">
        <v>682.99</v>
      </c>
      <c s="50" r="D42" t="n">
        <v>0</v>
      </c>
    </row>
    <row r="43" customHeight="1" ht="13.5" customFormat="1" s="67" spans="1:4">
      <c s="49" r="A43" t="s">
        <v>44</v>
      </c>
      <c s="50" r="B43" t="n">
        <v>0</v>
      </c>
      <c s="50" r="C43" t="n">
        <v>487</v>
      </c>
      <c s="50" r="D43" t="n">
        <v>0</v>
      </c>
    </row>
    <row r="44" customHeight="1" ht="13.5" customFormat="1" s="67" spans="1:4">
      <c s="49" r="A44" t="s">
        <v>45</v>
      </c>
      <c s="50" r="B44" t="n">
        <v>0</v>
      </c>
      <c s="50" r="C44" t="n">
        <v>60.2</v>
      </c>
      <c s="50" r="D44" t="n">
        <v>0</v>
      </c>
    </row>
    <row r="45" customHeight="1" ht="13.5" customFormat="1" s="67" spans="1:4">
      <c s="49" r="A45" t="s">
        <v>46</v>
      </c>
      <c s="50" r="B45" t="n">
        <v>1297.25</v>
      </c>
      <c s="50" r="C45" t="n">
        <v>5697.11</v>
      </c>
      <c s="50" r="D45" t="n">
        <v>733.45</v>
      </c>
    </row>
    <row r="46" customHeight="1" ht="13.5" customFormat="1" s="67" spans="1:4">
      <c s="49" r="A46" t="s">
        <v>47</v>
      </c>
      <c s="50" r="B46" t="n">
        <v>814.5</v>
      </c>
      <c s="50" r="C46" t="n">
        <v>2528.5</v>
      </c>
      <c s="50" r="D46" t="n">
        <v>1000</v>
      </c>
    </row>
    <row r="47" customHeight="1" ht="13.5" customFormat="1" s="67" spans="1:4">
      <c s="36" r="A47" t="s">
        <v>48</v>
      </c>
      <c s="37" r="B47" t="n">
        <f>SUM(B39:B46)</f>
        <v>2111.75</v>
      </c>
      <c s="37" r="C47" t="n">
        <f>SUM(C39:C46)</f>
        <v>10123.8</v>
      </c>
      <c s="37" r="D47" t="n">
        <f>SUM(D39:D46)</f>
        <v>1733.45</v>
      </c>
    </row>
    <row r="48" customHeight="1" ht="7.5" customFormat="1" s="67" spans="1:4">
      <c s="51" r="A48"/>
      <c s="52" r="B48"/>
      <c s="52" r="C48"/>
      <c s="53" r="D48"/>
    </row>
    <row r="49" customHeight="1" ht="13.5" customFormat="1" s="67" spans="1:4">
      <c s="54" r="A49" t="s">
        <v>49</v>
      </c>
      <c s="55" r="B49"/>
      <c s="55" r="C49"/>
      <c s="56" r="D49"/>
    </row>
    <row r="50" customHeight="1" ht="13.5" customFormat="1" s="67" spans="1:4">
      <c s="57" r="A50" t="s">
        <v>50</v>
      </c>
      <c s="58" r="B50" t="n">
        <v>33013.8</v>
      </c>
      <c s="58" r="C50" t="n">
        <v>154570.19</v>
      </c>
      <c s="58" r="D50" t="n">
        <v>34060.85</v>
      </c>
    </row>
    <row r="51" customHeight="1" ht="13.5" customFormat="1" s="67" spans="1:4">
      <c s="57" r="A51" t="s">
        <v>51</v>
      </c>
      <c s="58" r="B51" t="n">
        <v>8559</v>
      </c>
      <c s="58" r="C51" t="n">
        <v>34412.02</v>
      </c>
      <c s="58" r="D51" t="n">
        <v>11195</v>
      </c>
    </row>
    <row r="52" customHeight="1" ht="13.5" customFormat="1" s="67" spans="1:4">
      <c s="57" r="A52" t="s">
        <v>52</v>
      </c>
      <c s="58" r="B52" t="n">
        <v>6730.5</v>
      </c>
      <c s="58" r="C52" t="n">
        <v>20146</v>
      </c>
      <c s="58" r="D52" t="n">
        <v>4583.69</v>
      </c>
    </row>
    <row r="53" customHeight="1" ht="13.5" customFormat="1" s="67" spans="1:4">
      <c s="57" r="A53" t="s">
        <v>53</v>
      </c>
      <c s="58" r="B53" t="n">
        <v>64578.78</v>
      </c>
      <c s="58" r="C53" t="n">
        <v>306081.38</v>
      </c>
      <c s="58" r="D53" t="n">
        <v>77430.16</v>
      </c>
    </row>
    <row r="54" customHeight="1" ht="13.5" customFormat="1" s="67" spans="1:4">
      <c s="57" r="A54" t="s">
        <v>54</v>
      </c>
      <c s="58" r="B54" t="n">
        <v>3655</v>
      </c>
      <c s="58" r="C54" t="n">
        <v>27225</v>
      </c>
      <c s="58" r="D54" t="n">
        <v>4170</v>
      </c>
    </row>
    <row r="55" customHeight="1" ht="13.5" customFormat="1" s="67" spans="1:4">
      <c s="57" r="A55" t="s">
        <v>55</v>
      </c>
      <c s="58" r="B55" t="n">
        <v>150</v>
      </c>
      <c s="58" r="C55" t="n">
        <v>1759</v>
      </c>
      <c s="58" r="D55" t="n">
        <v>289</v>
      </c>
    </row>
    <row r="56" customHeight="1" ht="13.5" customFormat="1" s="67" spans="1:4">
      <c s="57" r="A56" t="s">
        <v>56</v>
      </c>
      <c s="58" r="B56" t="n">
        <v>0</v>
      </c>
      <c s="58" r="C56" t="n">
        <v>21.5</v>
      </c>
      <c s="58" r="D56" t="n">
        <v>0</v>
      </c>
    </row>
    <row r="57" customHeight="1" ht="13.5" customFormat="1" s="67" spans="1:4">
      <c s="57" r="A57" t="s">
        <v>57</v>
      </c>
      <c s="58" r="B57" t="n">
        <v>37239</v>
      </c>
      <c s="58" r="C57" t="n">
        <v>144556</v>
      </c>
      <c s="58" r="D57" t="n">
        <v>0</v>
      </c>
    </row>
    <row r="58" customHeight="1" ht="13.5" customFormat="1" s="67" spans="1:4">
      <c s="57" r="A58" t="s">
        <v>58</v>
      </c>
      <c s="58" r="B58" t="n">
        <v>0</v>
      </c>
      <c s="58" r="C58" t="n">
        <v>1243.94</v>
      </c>
      <c s="58" r="D58" t="n">
        <v>0</v>
      </c>
    </row>
    <row r="59" customHeight="1" ht="13.5" customFormat="1" s="67" spans="1:4">
      <c s="57" r="A59" t="s">
        <v>59</v>
      </c>
      <c s="58" r="B59" t="n">
        <v>0</v>
      </c>
      <c s="58" r="C59" t="n">
        <v>82.2</v>
      </c>
      <c s="58" r="D59" t="n">
        <v>50</v>
      </c>
    </row>
    <row r="60" customHeight="1" ht="13.5" customFormat="1" s="67" spans="1:4">
      <c s="57" r="A60" t="s">
        <v>60</v>
      </c>
      <c s="58" r="B60" t="n">
        <v>6583.95</v>
      </c>
      <c s="58" r="C60" t="n">
        <v>25669.66</v>
      </c>
      <c s="58" r="D60" t="n">
        <v>6531.97</v>
      </c>
    </row>
    <row r="61" customHeight="1" ht="13.5" customFormat="1" s="67" spans="1:4">
      <c s="36" r="A61" t="s">
        <v>61</v>
      </c>
      <c s="37" r="B61" t="n">
        <f>SUM(B50:B59) - B60</f>
        <v>147342.13</v>
      </c>
      <c s="37" r="C61" t="n">
        <f>SUM(C50:C59) - C60</f>
        <v>664427.57</v>
      </c>
      <c s="37" r="D61" t="n">
        <f>SUM(D50:D59) - D60</f>
        <v>125246.73</v>
      </c>
    </row>
    <row r="62" customHeight="1" ht="7.5" customFormat="1" s="67" spans="1:4">
      <c s="42" r="A62"/>
      <c s="43" r="B62"/>
      <c s="43" r="C62"/>
      <c s="44" r="D62"/>
    </row>
    <row r="63" customHeight="1" ht="13.5" customFormat="1" s="67" spans="1:4">
      <c s="36" r="A63" t="s">
        <v>62</v>
      </c>
      <c s="37" r="B63" t="n">
        <f>B61 - B27</f>
        <v>296.48</v>
      </c>
      <c s="37" r="C63" t="n">
        <f>C61 - C27</f>
        <v>876.24</v>
      </c>
      <c s="37" r="D63" t="n">
        <f>D61 - D27</f>
        <v>-36049.45</v>
      </c>
    </row>
    <row r="64" customHeight="1" ht="7.5" customFormat="1" s="67" spans="1:4">
      <c s="42" r="A64"/>
      <c s="43" r="B64"/>
      <c s="43" r="C64"/>
      <c s="44" r="D64"/>
    </row>
    <row r="65" customHeight="1" ht="13.5" customFormat="1" s="67" spans="1:7">
      <c s="26" r="A65" t="s">
        <v>63</v>
      </c>
      <c s="27" r="B65" t="s">
        <v>64</v>
      </c>
      <c s="27" r="C65" t="s">
        <v>65</v>
      </c>
      <c s="59" r="D65"/>
      <c s="59" r="E65"/>
      <c s="59" r="F65"/>
      <c s="59" r="G65"/>
    </row>
    <row r="66" customHeight="1" ht="13.5" customFormat="1" s="67" spans="1:3">
      <c s="28" r="A66" t="s">
        <v>66</v>
      </c>
      <c s="29" r="B66" t="n">
        <f>B29 * 19%</f>
        <v>25388.6493</v>
      </c>
      <c s="29" r="C66" t="n">
        <f>B29 * 20%</f>
        <v>26724.894</v>
      </c>
    </row>
    <row r="67" customHeight="1" ht="13.5" customFormat="1" s="67" spans="1:3">
      <c s="28" r="A67" t="s">
        <v>67</v>
      </c>
      <c s="29" r="B67" t="n">
        <v>25770.98</v>
      </c>
      <c s="29" r="C67" t="n">
        <v>31873.589645</v>
      </c>
    </row>
    <row r="68" customHeight="1" ht="13.5" customFormat="1" s="67" spans="1:3">
      <c s="28" r="A68" t="s">
        <v>68</v>
      </c>
      <c s="60" r="B68" t="n">
        <f>IF(B66 &gt; 0, (B67 - B66) / B66, 0)</f>
        <v>0.01505911935221</v>
      </c>
      <c s="60" r="C68" t="n">
        <f>IF(C66 &gt; 0, (C67 - C66) / C66, 0)</f>
        <v>0.1926554187642</v>
      </c>
    </row>
    <row r="69" customHeight="1" ht="7.5" customFormat="1" s="67" spans="1:3">
      <c s="42" r="A69"/>
      <c s="43" r="B69"/>
      <c s="44" r="C69"/>
    </row>
    <row r="70" customHeight="1" ht="13.5" customFormat="1" s="67" spans="1:3">
      <c s="61" r="A70" t="s">
        <v>69</v>
      </c>
      <c s="62" r="B70"/>
      <c s="63" r="C70"/>
    </row>
    <row r="71" customHeight="1" ht="60" customFormat="1" s="67" spans="1:3">
      <c s="64" r="A71" t="s">
        <v>70</v>
      </c>
      <c s="65" r="B71"/>
      <c s="66" r="C71"/>
    </row>
  </sheetData>
  <mergeCells count="24">
    <mergeCell ref="A1:J1"/>
    <mergeCell ref="A6:J6"/>
    <mergeCell ref="A7:J7"/>
    <mergeCell ref="A26:J26"/>
    <mergeCell ref="A30:D30"/>
    <mergeCell ref="A32:D32"/>
    <mergeCell ref="A33:D33"/>
    <mergeCell ref="A37:D37"/>
    <mergeCell ref="A38:D38"/>
    <mergeCell ref="A48:D48"/>
    <mergeCell ref="A49:D49"/>
    <mergeCell ref="A62:D62"/>
    <mergeCell ref="A64:D64"/>
    <mergeCell ref="A69:C69"/>
    <mergeCell ref="A70:C70"/>
    <mergeCell ref="A71:C71"/>
    <mergeCell ref="B3:J3"/>
    <mergeCell ref="B4:J4"/>
    <mergeCell ref="E9:E25"/>
    <mergeCell ref="F9:F25"/>
    <mergeCell ref="G9:G25"/>
    <mergeCell ref="H9:H25"/>
    <mergeCell ref="I9:I25"/>
    <mergeCell ref="J9:J25"/>
  </mergeCells>
  <printOptions/>
  <pageMargins left="0.7007874015748" right="0.7007874015748" top="0.751968503937" bottom="0.751968503937" header="0.2992125984252" footer="0.2992125984252"/>
  <pageSetup paperSize="9"/>
</worksheet>
</file>